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9"/>
  <workbookPr/>
  <xr:revisionPtr revIDLastSave="340" documentId="11_7F4755BF84DCCE43E268565A8931F45BFA75341E" xr6:coauthVersionLast="47" xr6:coauthVersionMax="47" xr10:uidLastSave="{4776B7CF-7220-4660-BC76-6465520BF469}"/>
  <bookViews>
    <workbookView xWindow="240" yWindow="105" windowWidth="14805" windowHeight="8010" activeTab="4" xr2:uid="{00000000-000D-0000-FFFF-FFFF00000000}"/>
  </bookViews>
  <sheets>
    <sheet name="Relacionamento" sheetId="1" r:id="rId1"/>
    <sheet name="Peca" sheetId="6" r:id="rId2"/>
    <sheet name="Ordem de Servico" sheetId="5" r:id="rId3"/>
    <sheet name="Funcionario" sheetId="3" r:id="rId4"/>
    <sheet name="Cliente" sheetId="2" r:id="rId5"/>
    <sheet name="Veiculo" sheetId="4" r:id="rId6"/>
    <sheet name="Pagamento" sheetId="7" r:id="rId7"/>
  </sheets>
  <definedNames>
    <definedName name="_xlnm._FilterDatabase" localSheetId="3" hidden="1">Funcionario!$A$3:$E$3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5" l="1"/>
  <c r="B16" i="3"/>
  <c r="B16" i="4"/>
  <c r="B11" i="6"/>
  <c r="B9" i="2"/>
</calcChain>
</file>

<file path=xl/sharedStrings.xml><?xml version="1.0" encoding="utf-8"?>
<sst xmlns="http://schemas.openxmlformats.org/spreadsheetml/2006/main" count="238" uniqueCount="110">
  <si>
    <t>ENTIDADES/Relacionamento</t>
  </si>
  <si>
    <t>Entidade</t>
  </si>
  <si>
    <t>Relacionamento</t>
  </si>
  <si>
    <t>Nome do Relacionamento</t>
  </si>
  <si>
    <t>Descrição</t>
  </si>
  <si>
    <t>funcionario</t>
  </si>
  <si>
    <t>(1:N)</t>
  </si>
  <si>
    <t>Funcionário executa OS</t>
  </si>
  <si>
    <t>Um funcionário executa N OS</t>
  </si>
  <si>
    <t>cliente</t>
  </si>
  <si>
    <t>Cliente possui veiculo</t>
  </si>
  <si>
    <t>Um cliente pode ter N veiculos</t>
  </si>
  <si>
    <t>veiculo</t>
  </si>
  <si>
    <t>(N:1)</t>
  </si>
  <si>
    <t>Veiculo pertence a Cliente</t>
  </si>
  <si>
    <t xml:space="preserve">N veiculo só podem ter um "cliente"  </t>
  </si>
  <si>
    <t>peca</t>
  </si>
  <si>
    <t>(1:1)</t>
  </si>
  <si>
    <t>Peca pertence a OS</t>
  </si>
  <si>
    <t>Uma peça só pode ser usada em uma OS</t>
  </si>
  <si>
    <t>pagamento</t>
  </si>
  <si>
    <t>Pagamento pertence a OS</t>
  </si>
  <si>
    <t>N pagamento podem estar relacionado a uma OS</t>
  </si>
  <si>
    <t>Cliente realiza pagamento</t>
  </si>
  <si>
    <t>Um  cliente pode realizar N pagamento</t>
  </si>
  <si>
    <t>ordem_servico</t>
  </si>
  <si>
    <t>ordem_servico pertence a um veículo</t>
  </si>
  <si>
    <t>N ordem de serviço podem ser relacionadas a um veículo</t>
  </si>
  <si>
    <t>(N:N)</t>
  </si>
  <si>
    <t>ordem_servico pertence a funcionario</t>
  </si>
  <si>
    <t>N ordem de serviço pode estar relacionada a N funcionarios</t>
  </si>
  <si>
    <t xml:space="preserve">ATRIBUTOS </t>
  </si>
  <si>
    <t>Atributo</t>
  </si>
  <si>
    <t>Tipo de dados</t>
  </si>
  <si>
    <t>Comprimento(bytes)</t>
  </si>
  <si>
    <t xml:space="preserve">Restrições </t>
  </si>
  <si>
    <t>id_peca</t>
  </si>
  <si>
    <t>INT</t>
  </si>
  <si>
    <t>—</t>
  </si>
  <si>
    <t>PK, AUTO_INCREMENT</t>
  </si>
  <si>
    <t>Identificador único da peça</t>
  </si>
  <si>
    <t>nome</t>
  </si>
  <si>
    <t>VARCHAR</t>
  </si>
  <si>
    <t>NOT NULL</t>
  </si>
  <si>
    <t>Nome da peça</t>
  </si>
  <si>
    <t>descricao</t>
  </si>
  <si>
    <t>NULL</t>
  </si>
  <si>
    <t>Descrição opcional da peça</t>
  </si>
  <si>
    <t>valor_unitario</t>
  </si>
  <si>
    <t>DECIMAL(10,2)</t>
  </si>
  <si>
    <t>Valor da peça</t>
  </si>
  <si>
    <t>quantidade_estoque</t>
  </si>
  <si>
    <t>Quantidade disponível em estoque</t>
  </si>
  <si>
    <t>fornecedor</t>
  </si>
  <si>
    <t>Nome ou código do fornecedor</t>
  </si>
  <si>
    <t>Total de bytes da tabela:</t>
  </si>
  <si>
    <t>id_os</t>
  </si>
  <si>
    <t>int</t>
  </si>
  <si>
    <t>PK, auto_increment</t>
  </si>
  <si>
    <t>chave primaria com auto incremento</t>
  </si>
  <si>
    <t>data_inicio</t>
  </si>
  <si>
    <t>date</t>
  </si>
  <si>
    <t>not null</t>
  </si>
  <si>
    <t>data_fim</t>
  </si>
  <si>
    <t>id_funcionario</t>
  </si>
  <si>
    <t>fk, not null</t>
  </si>
  <si>
    <t>id_cliente</t>
  </si>
  <si>
    <t>id_veiculo</t>
  </si>
  <si>
    <t xml:space="preserve">descricao_problema </t>
  </si>
  <si>
    <t>text</t>
  </si>
  <si>
    <t xml:space="preserve">acao_realizada </t>
  </si>
  <si>
    <t xml:space="preserve">status </t>
  </si>
  <si>
    <t>enum</t>
  </si>
  <si>
    <t xml:space="preserve">nome </t>
  </si>
  <si>
    <t>varchar</t>
  </si>
  <si>
    <t>nome do usuario</t>
  </si>
  <si>
    <t xml:space="preserve">telefone </t>
  </si>
  <si>
    <t>char</t>
  </si>
  <si>
    <t>telefone do usuario</t>
  </si>
  <si>
    <t xml:space="preserve">endereco </t>
  </si>
  <si>
    <t>endereco do usuario</t>
  </si>
  <si>
    <t>login</t>
  </si>
  <si>
    <t>not null, unique</t>
  </si>
  <si>
    <t>senha</t>
  </si>
  <si>
    <t>cpf</t>
  </si>
  <si>
    <t>email</t>
  </si>
  <si>
    <t>cargo</t>
  </si>
  <si>
    <t>caractere</t>
  </si>
  <si>
    <t>marca</t>
  </si>
  <si>
    <t>modelo</t>
  </si>
  <si>
    <t>ano</t>
  </si>
  <si>
    <t>year not null</t>
  </si>
  <si>
    <t>cor</t>
  </si>
  <si>
    <t>placa</t>
  </si>
  <si>
    <t>motor</t>
  </si>
  <si>
    <t>Comprimento</t>
  </si>
  <si>
    <t>id_pagamento</t>
  </si>
  <si>
    <t>Identificador único do pagamento</t>
  </si>
  <si>
    <t>id_ordem_servico</t>
  </si>
  <si>
    <t>tipo_pagamento</t>
  </si>
  <si>
    <t>ENUM</t>
  </si>
  <si>
    <t>6 bytes</t>
  </si>
  <si>
    <t>Tipo de pagamento</t>
  </si>
  <si>
    <t>status_pagamento</t>
  </si>
  <si>
    <t>9 bytes</t>
  </si>
  <si>
    <t>Status do pagamento</t>
  </si>
  <si>
    <t>data_pagamento</t>
  </si>
  <si>
    <t>DATETIME</t>
  </si>
  <si>
    <t>Data do pagamento</t>
  </si>
  <si>
    <t>20 bytes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</si>
</sst>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2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242424"/>
      <name val="Aptos Narrow"/>
      <charset val="1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8" xfId="0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shrinkToFit="1"/>
    </xf>
    <xf numFmtId="0" fontId="2" fillId="3" borderId="10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 shrinkToFit="1"/>
    </xf>
    <xf numFmtId="0" fontId="0" fillId="0" borderId="0" xfId="0" applyAlignment="1">
      <alignment horizontal="center" vertical="center" shrinkToFit="1"/>
    </xf>
    <xf numFmtId="0" fontId="0" fillId="0" borderId="12" xfId="0" applyBorder="1" applyAlignment="1">
      <alignment horizontal="center" vertical="center" shrinkToFit="1"/>
    </xf>
    <xf numFmtId="0" fontId="0" fillId="0" borderId="12" xfId="0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 shrinkToFit="1"/>
    </xf>
    <xf numFmtId="0" fontId="2" fillId="3" borderId="14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 wrapText="1"/>
    </xf>
    <xf numFmtId="0" fontId="2" fillId="3" borderId="15" xfId="0" applyFont="1" applyFill="1" applyBorder="1" applyAlignment="1">
      <alignment horizontal="center" vertical="center"/>
    </xf>
    <xf numFmtId="0" fontId="0" fillId="0" borderId="8" xfId="0" applyBorder="1" applyAlignment="1">
      <alignment horizontal="left" vertical="center"/>
    </xf>
    <xf numFmtId="0" fontId="3" fillId="0" borderId="12" xfId="0" applyFont="1" applyBorder="1" applyAlignment="1">
      <alignment horizontal="left"/>
    </xf>
    <xf numFmtId="0" fontId="0" fillId="0" borderId="16" xfId="0" applyBorder="1" applyAlignment="1">
      <alignment horizontal="center" vertical="center"/>
    </xf>
    <xf numFmtId="0" fontId="0" fillId="3" borderId="17" xfId="0" applyFill="1" applyBorder="1" applyAlignment="1">
      <alignment horizontal="center" vertical="center" wrapText="1"/>
    </xf>
    <xf numFmtId="0" fontId="0" fillId="0" borderId="7" xfId="0" applyBorder="1" applyAlignment="1">
      <alignment horizontal="left" vertical="center"/>
    </xf>
    <xf numFmtId="0" fontId="0" fillId="0" borderId="12" xfId="0" applyBorder="1" applyAlignment="1">
      <alignment vertical="center"/>
    </xf>
    <xf numFmtId="0" fontId="0" fillId="0" borderId="12" xfId="0" applyBorder="1" applyAlignment="1">
      <alignment vertical="center" wrapText="1"/>
    </xf>
    <xf numFmtId="0" fontId="0" fillId="0" borderId="18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workbookViewId="0">
      <selection activeCell="A13" sqref="A13"/>
    </sheetView>
  </sheetViews>
  <sheetFormatPr defaultRowHeight="15"/>
  <cols>
    <col min="1" max="1" width="28.85546875" bestFit="1" customWidth="1"/>
    <col min="2" max="2" width="22" customWidth="1"/>
    <col min="3" max="3" width="40.5703125" customWidth="1"/>
    <col min="4" max="4" width="64.5703125" bestFit="1" customWidth="1"/>
  </cols>
  <sheetData>
    <row r="1" spans="1:4" ht="15" customHeight="1">
      <c r="A1" s="1" t="s">
        <v>0</v>
      </c>
      <c r="B1" s="2"/>
      <c r="C1" s="2"/>
      <c r="D1" s="3"/>
    </row>
    <row r="2" spans="1:4" ht="15" customHeight="1">
      <c r="A2" s="4"/>
      <c r="B2" s="5"/>
      <c r="C2" s="5"/>
      <c r="D2" s="6"/>
    </row>
    <row r="3" spans="1:4">
      <c r="A3" s="7" t="s">
        <v>1</v>
      </c>
      <c r="B3" s="7" t="s">
        <v>2</v>
      </c>
      <c r="C3" s="8" t="s">
        <v>3</v>
      </c>
      <c r="D3" s="27" t="s">
        <v>4</v>
      </c>
    </row>
    <row r="4" spans="1:4">
      <c r="A4" s="9" t="s">
        <v>5</v>
      </c>
      <c r="B4" s="10" t="s">
        <v>6</v>
      </c>
      <c r="C4" s="26" t="s">
        <v>7</v>
      </c>
      <c r="D4" s="25" t="s">
        <v>8</v>
      </c>
    </row>
    <row r="5" spans="1:4">
      <c r="A5" s="9" t="s">
        <v>9</v>
      </c>
      <c r="B5" s="9" t="s">
        <v>6</v>
      </c>
      <c r="C5" s="9" t="s">
        <v>10</v>
      </c>
      <c r="D5" s="28" t="s">
        <v>11</v>
      </c>
    </row>
    <row r="6" spans="1:4">
      <c r="A6" s="9" t="s">
        <v>12</v>
      </c>
      <c r="B6" s="9" t="s">
        <v>13</v>
      </c>
      <c r="C6" s="9" t="s">
        <v>14</v>
      </c>
      <c r="D6" s="24" t="s">
        <v>15</v>
      </c>
    </row>
    <row r="7" spans="1:4">
      <c r="A7" s="9" t="s">
        <v>16</v>
      </c>
      <c r="B7" s="9" t="s">
        <v>17</v>
      </c>
      <c r="C7" s="9" t="s">
        <v>18</v>
      </c>
      <c r="D7" s="24" t="s">
        <v>19</v>
      </c>
    </row>
    <row r="8" spans="1:4">
      <c r="A8" s="9" t="s">
        <v>20</v>
      </c>
      <c r="B8" s="9" t="s">
        <v>13</v>
      </c>
      <c r="C8" s="11" t="s">
        <v>21</v>
      </c>
      <c r="D8" s="24" t="s">
        <v>22</v>
      </c>
    </row>
    <row r="9" spans="1:4">
      <c r="A9" s="9" t="s">
        <v>9</v>
      </c>
      <c r="B9" s="9" t="s">
        <v>6</v>
      </c>
      <c r="C9" s="11" t="s">
        <v>23</v>
      </c>
      <c r="D9" s="24" t="s">
        <v>24</v>
      </c>
    </row>
    <row r="10" spans="1:4">
      <c r="A10" s="9" t="s">
        <v>25</v>
      </c>
      <c r="B10" s="9" t="s">
        <v>13</v>
      </c>
      <c r="C10" s="9" t="s">
        <v>26</v>
      </c>
      <c r="D10" s="24" t="s">
        <v>27</v>
      </c>
    </row>
    <row r="11" spans="1:4">
      <c r="A11" s="9" t="s">
        <v>25</v>
      </c>
      <c r="B11" s="9" t="s">
        <v>28</v>
      </c>
      <c r="C11" s="9" t="s">
        <v>29</v>
      </c>
      <c r="D11" s="24" t="s">
        <v>30</v>
      </c>
    </row>
    <row r="12" spans="1:4">
      <c r="A12" s="9"/>
      <c r="B12" s="9"/>
      <c r="C12" s="9"/>
      <c r="D12" s="24"/>
    </row>
  </sheetData>
  <mergeCells count="1">
    <mergeCell ref="A1:D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22CE7-A077-44ED-9E67-07D72946E11A}">
  <dimension ref="A1:E11"/>
  <sheetViews>
    <sheetView workbookViewId="0">
      <selection activeCell="A14" sqref="A14"/>
    </sheetView>
  </sheetViews>
  <sheetFormatPr defaultRowHeight="15"/>
  <cols>
    <col min="1" max="1" width="22.28515625" bestFit="1" customWidth="1"/>
    <col min="2" max="2" width="14.42578125" bestFit="1" customWidth="1"/>
    <col min="3" max="3" width="21.140625" bestFit="1" customWidth="1"/>
    <col min="4" max="4" width="18.140625" bestFit="1" customWidth="1"/>
    <col min="5" max="5" width="33.140625" bestFit="1" customWidth="1"/>
  </cols>
  <sheetData>
    <row r="1" spans="1:5">
      <c r="A1" s="1" t="s">
        <v>31</v>
      </c>
      <c r="B1" s="2"/>
      <c r="C1" s="2"/>
      <c r="D1" s="2"/>
      <c r="E1" s="3"/>
    </row>
    <row r="2" spans="1:5">
      <c r="A2" s="4"/>
      <c r="B2" s="5"/>
      <c r="C2" s="5"/>
      <c r="D2" s="5"/>
      <c r="E2" s="6"/>
    </row>
    <row r="3" spans="1:5" ht="32.25">
      <c r="A3" s="20" t="s">
        <v>32</v>
      </c>
      <c r="B3" s="21" t="s">
        <v>33</v>
      </c>
      <c r="C3" s="21" t="s">
        <v>34</v>
      </c>
      <c r="D3" s="22" t="s">
        <v>35</v>
      </c>
      <c r="E3" s="23" t="s">
        <v>4</v>
      </c>
    </row>
    <row r="4" spans="1:5">
      <c r="A4" s="19" t="s">
        <v>36</v>
      </c>
      <c r="B4" s="19" t="s">
        <v>37</v>
      </c>
      <c r="C4" s="19" t="s">
        <v>38</v>
      </c>
      <c r="D4" s="19" t="s">
        <v>39</v>
      </c>
      <c r="E4" s="19" t="s">
        <v>40</v>
      </c>
    </row>
    <row r="5" spans="1:5">
      <c r="A5" s="19" t="s">
        <v>41</v>
      </c>
      <c r="B5" s="19" t="s">
        <v>42</v>
      </c>
      <c r="C5" s="19">
        <v>100</v>
      </c>
      <c r="D5" s="19" t="s">
        <v>43</v>
      </c>
      <c r="E5" s="19" t="s">
        <v>44</v>
      </c>
    </row>
    <row r="6" spans="1:5">
      <c r="A6" s="19" t="s">
        <v>45</v>
      </c>
      <c r="B6" s="19" t="s">
        <v>42</v>
      </c>
      <c r="C6" s="19">
        <v>255</v>
      </c>
      <c r="D6" s="19" t="s">
        <v>46</v>
      </c>
      <c r="E6" s="19" t="s">
        <v>47</v>
      </c>
    </row>
    <row r="7" spans="1:5">
      <c r="A7" s="19" t="s">
        <v>48</v>
      </c>
      <c r="B7" s="19" t="s">
        <v>49</v>
      </c>
      <c r="C7" s="19" t="s">
        <v>38</v>
      </c>
      <c r="D7" s="19" t="s">
        <v>43</v>
      </c>
      <c r="E7" s="19" t="s">
        <v>50</v>
      </c>
    </row>
    <row r="8" spans="1:5">
      <c r="A8" s="19" t="s">
        <v>51</v>
      </c>
      <c r="B8" s="19" t="s">
        <v>37</v>
      </c>
      <c r="C8" s="19" t="s">
        <v>38</v>
      </c>
      <c r="D8" s="19" t="s">
        <v>43</v>
      </c>
      <c r="E8" s="19" t="s">
        <v>52</v>
      </c>
    </row>
    <row r="9" spans="1:5">
      <c r="A9" s="19" t="s">
        <v>53</v>
      </c>
      <c r="B9" s="19" t="s">
        <v>42</v>
      </c>
      <c r="C9" s="19">
        <v>100</v>
      </c>
      <c r="D9" s="19" t="s">
        <v>46</v>
      </c>
      <c r="E9" s="19" t="s">
        <v>54</v>
      </c>
    </row>
    <row r="11" spans="1:5">
      <c r="A11" t="s">
        <v>55</v>
      </c>
      <c r="B11">
        <f>SUM(C4:C9)</f>
        <v>455</v>
      </c>
    </row>
  </sheetData>
  <mergeCells count="1">
    <mergeCell ref="A1:E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99A92-84DF-4F2C-B830-B89E9BBF02F7}">
  <dimension ref="A1:E14"/>
  <sheetViews>
    <sheetView workbookViewId="0">
      <selection activeCell="C16" sqref="C16"/>
    </sheetView>
  </sheetViews>
  <sheetFormatPr defaultRowHeight="15"/>
  <cols>
    <col min="1" max="1" width="22.28515625" bestFit="1" customWidth="1"/>
    <col min="2" max="2" width="14.42578125" bestFit="1" customWidth="1"/>
    <col min="3" max="3" width="21.140625" bestFit="1" customWidth="1"/>
    <col min="4" max="4" width="18.140625" bestFit="1" customWidth="1"/>
    <col min="5" max="5" width="33.140625" bestFit="1" customWidth="1"/>
  </cols>
  <sheetData>
    <row r="1" spans="1:5">
      <c r="A1" s="1" t="s">
        <v>31</v>
      </c>
      <c r="B1" s="2"/>
      <c r="C1" s="2"/>
      <c r="D1" s="2"/>
      <c r="E1" s="3"/>
    </row>
    <row r="2" spans="1:5">
      <c r="A2" s="4"/>
      <c r="B2" s="5"/>
      <c r="C2" s="5"/>
      <c r="D2" s="5"/>
      <c r="E2" s="6"/>
    </row>
    <row r="3" spans="1:5" ht="32.25">
      <c r="A3" s="20" t="s">
        <v>32</v>
      </c>
      <c r="B3" s="21" t="s">
        <v>33</v>
      </c>
      <c r="C3" s="21" t="s">
        <v>34</v>
      </c>
      <c r="D3" s="22" t="s">
        <v>35</v>
      </c>
      <c r="E3" s="23" t="s">
        <v>4</v>
      </c>
    </row>
    <row r="4" spans="1:5">
      <c r="A4" s="19" t="s">
        <v>56</v>
      </c>
      <c r="B4" s="19" t="s">
        <v>57</v>
      </c>
      <c r="C4" s="19" t="s">
        <v>38</v>
      </c>
      <c r="D4" s="19" t="s">
        <v>58</v>
      </c>
      <c r="E4" s="19" t="s">
        <v>59</v>
      </c>
    </row>
    <row r="5" spans="1:5">
      <c r="A5" s="19" t="s">
        <v>60</v>
      </c>
      <c r="B5" s="19" t="s">
        <v>61</v>
      </c>
      <c r="C5" s="19">
        <v>10</v>
      </c>
      <c r="D5" s="19" t="s">
        <v>62</v>
      </c>
      <c r="E5" s="19"/>
    </row>
    <row r="6" spans="1:5">
      <c r="A6" s="19" t="s">
        <v>63</v>
      </c>
      <c r="B6" s="19" t="s">
        <v>61</v>
      </c>
      <c r="C6" s="19">
        <v>10</v>
      </c>
      <c r="D6" s="19" t="s">
        <v>62</v>
      </c>
      <c r="E6" s="19"/>
    </row>
    <row r="7" spans="1:5">
      <c r="A7" s="19" t="s">
        <v>64</v>
      </c>
      <c r="B7" s="19" t="s">
        <v>57</v>
      </c>
      <c r="C7" s="19" t="s">
        <v>38</v>
      </c>
      <c r="D7" s="19" t="s">
        <v>65</v>
      </c>
      <c r="E7" s="19"/>
    </row>
    <row r="8" spans="1:5">
      <c r="A8" s="19" t="s">
        <v>66</v>
      </c>
      <c r="B8" s="19" t="s">
        <v>57</v>
      </c>
      <c r="C8" s="19" t="s">
        <v>38</v>
      </c>
      <c r="D8" s="19" t="s">
        <v>65</v>
      </c>
      <c r="E8" s="19"/>
    </row>
    <row r="9" spans="1:5">
      <c r="A9" s="19" t="s">
        <v>67</v>
      </c>
      <c r="B9" s="19" t="s">
        <v>57</v>
      </c>
      <c r="C9" s="19" t="s">
        <v>38</v>
      </c>
      <c r="D9" s="19" t="s">
        <v>65</v>
      </c>
      <c r="E9" s="19"/>
    </row>
    <row r="10" spans="1:5">
      <c r="A10" s="19" t="s">
        <v>68</v>
      </c>
      <c r="B10" s="19" t="s">
        <v>69</v>
      </c>
      <c r="C10" s="19" t="s">
        <v>38</v>
      </c>
      <c r="D10" s="19" t="s">
        <v>38</v>
      </c>
      <c r="E10" s="19"/>
    </row>
    <row r="11" spans="1:5">
      <c r="A11" s="19" t="s">
        <v>70</v>
      </c>
      <c r="B11" s="19" t="s">
        <v>69</v>
      </c>
      <c r="C11" s="19" t="s">
        <v>38</v>
      </c>
      <c r="D11" s="19" t="s">
        <v>38</v>
      </c>
      <c r="E11" s="19"/>
    </row>
    <row r="12" spans="1:5">
      <c r="A12" s="19" t="s">
        <v>71</v>
      </c>
      <c r="B12" s="19" t="s">
        <v>72</v>
      </c>
      <c r="C12" s="19" t="s">
        <v>38</v>
      </c>
      <c r="D12" s="19" t="s">
        <v>62</v>
      </c>
      <c r="E12" s="19"/>
    </row>
    <row r="14" spans="1:5">
      <c r="A14" t="s">
        <v>55</v>
      </c>
      <c r="B14">
        <f>SUM(C4:C12)</f>
        <v>20</v>
      </c>
    </row>
  </sheetData>
  <mergeCells count="1">
    <mergeCell ref="A1:E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095CB-2EFD-4E6E-8EB4-DF98B8E3F336}">
  <dimension ref="A1:E16"/>
  <sheetViews>
    <sheetView workbookViewId="0">
      <selection activeCell="B7" sqref="B7:B8"/>
    </sheetView>
  </sheetViews>
  <sheetFormatPr defaultColWidth="106.5703125" defaultRowHeight="15"/>
  <cols>
    <col min="1" max="1" width="22.28515625" bestFit="1" customWidth="1"/>
    <col min="2" max="2" width="16.7109375" bestFit="1" customWidth="1"/>
    <col min="3" max="3" width="23.42578125" bestFit="1" customWidth="1"/>
    <col min="4" max="4" width="18.140625" bestFit="1" customWidth="1"/>
    <col min="5" max="5" width="33.140625" bestFit="1" customWidth="1"/>
  </cols>
  <sheetData>
    <row r="1" spans="1:5">
      <c r="A1" s="1" t="s">
        <v>31</v>
      </c>
      <c r="B1" s="2"/>
      <c r="C1" s="2"/>
      <c r="D1" s="2"/>
      <c r="E1" s="3"/>
    </row>
    <row r="2" spans="1:5">
      <c r="A2" s="4"/>
      <c r="B2" s="5"/>
      <c r="C2" s="5"/>
      <c r="D2" s="5"/>
      <c r="E2" s="6"/>
    </row>
    <row r="3" spans="1:5" ht="16.5">
      <c r="A3" s="20" t="s">
        <v>32</v>
      </c>
      <c r="B3" s="21" t="s">
        <v>33</v>
      </c>
      <c r="C3" s="21" t="s">
        <v>34</v>
      </c>
      <c r="D3" s="22" t="s">
        <v>35</v>
      </c>
      <c r="E3" s="23" t="s">
        <v>4</v>
      </c>
    </row>
    <row r="4" spans="1:5">
      <c r="A4" s="19" t="s">
        <v>64</v>
      </c>
      <c r="B4" s="19" t="s">
        <v>57</v>
      </c>
      <c r="C4" s="19" t="s">
        <v>38</v>
      </c>
      <c r="D4" s="19" t="s">
        <v>58</v>
      </c>
      <c r="E4" s="19" t="s">
        <v>59</v>
      </c>
    </row>
    <row r="5" spans="1:5">
      <c r="A5" s="19" t="s">
        <v>73</v>
      </c>
      <c r="B5" s="19" t="s">
        <v>74</v>
      </c>
      <c r="C5" s="19">
        <v>30</v>
      </c>
      <c r="D5" s="19" t="s">
        <v>62</v>
      </c>
      <c r="E5" s="19" t="s">
        <v>75</v>
      </c>
    </row>
    <row r="6" spans="1:5">
      <c r="A6" s="19" t="s">
        <v>76</v>
      </c>
      <c r="B6" s="19" t="s">
        <v>77</v>
      </c>
      <c r="C6" s="19">
        <v>13</v>
      </c>
      <c r="D6" s="19" t="s">
        <v>62</v>
      </c>
      <c r="E6" s="19" t="s">
        <v>78</v>
      </c>
    </row>
    <row r="7" spans="1:5">
      <c r="A7" s="19" t="s">
        <v>79</v>
      </c>
      <c r="B7" s="19" t="s">
        <v>74</v>
      </c>
      <c r="C7" s="19">
        <v>255</v>
      </c>
      <c r="D7" s="19" t="s">
        <v>62</v>
      </c>
      <c r="E7" s="19" t="s">
        <v>80</v>
      </c>
    </row>
    <row r="8" spans="1:5">
      <c r="A8" s="19" t="s">
        <v>81</v>
      </c>
      <c r="B8" s="19" t="s">
        <v>74</v>
      </c>
      <c r="C8" s="19">
        <v>20</v>
      </c>
      <c r="D8" s="19" t="s">
        <v>82</v>
      </c>
      <c r="E8" s="19"/>
    </row>
    <row r="9" spans="1:5">
      <c r="A9" s="19" t="s">
        <v>83</v>
      </c>
      <c r="B9" s="19" t="s">
        <v>74</v>
      </c>
      <c r="C9" s="19">
        <v>25</v>
      </c>
      <c r="D9" s="19" t="s">
        <v>62</v>
      </c>
      <c r="E9" s="19"/>
    </row>
    <row r="10" spans="1:5">
      <c r="A10" s="19" t="s">
        <v>84</v>
      </c>
      <c r="B10" s="19" t="s">
        <v>77</v>
      </c>
      <c r="C10" s="19">
        <v>15</v>
      </c>
      <c r="D10" s="19" t="s">
        <v>82</v>
      </c>
      <c r="E10" s="19"/>
    </row>
    <row r="11" spans="1:5">
      <c r="A11" s="19" t="s">
        <v>85</v>
      </c>
      <c r="B11" s="19" t="s">
        <v>74</v>
      </c>
      <c r="C11" s="19">
        <v>50</v>
      </c>
      <c r="D11" s="19" t="s">
        <v>82</v>
      </c>
      <c r="E11" s="19"/>
    </row>
    <row r="12" spans="1:5">
      <c r="A12" s="19" t="s">
        <v>86</v>
      </c>
      <c r="B12" s="19" t="s">
        <v>72</v>
      </c>
      <c r="C12" s="19"/>
      <c r="D12" s="19" t="s">
        <v>62</v>
      </c>
      <c r="E12" s="19"/>
    </row>
    <row r="13" spans="1:5">
      <c r="A13" s="19"/>
      <c r="B13" s="19"/>
      <c r="C13" s="19"/>
      <c r="D13" s="19"/>
      <c r="E13" s="19"/>
    </row>
    <row r="14" spans="1:5">
      <c r="A14" s="19"/>
      <c r="B14" s="19"/>
      <c r="C14" s="19"/>
      <c r="D14" s="19"/>
      <c r="E14" s="19"/>
    </row>
    <row r="16" spans="1:5">
      <c r="A16" t="s">
        <v>55</v>
      </c>
      <c r="B16">
        <f>SUM(C4:C14)</f>
        <v>408</v>
      </c>
    </row>
  </sheetData>
  <autoFilter ref="A3:E3" xr:uid="{FC8095CB-2EFD-4E6E-8EB4-DF98B8E3F336}"/>
  <mergeCells count="1">
    <mergeCell ref="A1:E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BB18E-1888-4A79-A11B-5DFE9FCCD651}">
  <dimension ref="A1:E11"/>
  <sheetViews>
    <sheetView tabSelected="1" workbookViewId="0">
      <selection sqref="A1:E2"/>
    </sheetView>
  </sheetViews>
  <sheetFormatPr defaultRowHeight="15"/>
  <cols>
    <col min="1" max="1" width="22.28515625" bestFit="1" customWidth="1"/>
    <col min="2" max="2" width="14.42578125" bestFit="1" customWidth="1"/>
    <col min="3" max="3" width="21.140625" bestFit="1" customWidth="1"/>
    <col min="4" max="4" width="18.140625" bestFit="1" customWidth="1"/>
    <col min="5" max="5" width="33.140625" bestFit="1" customWidth="1"/>
  </cols>
  <sheetData>
    <row r="1" spans="1:5">
      <c r="A1" s="1" t="s">
        <v>31</v>
      </c>
      <c r="B1" s="2"/>
      <c r="C1" s="2"/>
      <c r="D1" s="2"/>
      <c r="E1" s="3"/>
    </row>
    <row r="2" spans="1:5">
      <c r="A2" s="4"/>
      <c r="B2" s="5"/>
      <c r="C2" s="5"/>
      <c r="D2" s="5"/>
      <c r="E2" s="6"/>
    </row>
    <row r="3" spans="1:5" ht="16.5">
      <c r="A3" s="12" t="s">
        <v>32</v>
      </c>
      <c r="B3" s="13" t="s">
        <v>33</v>
      </c>
      <c r="C3" s="13" t="s">
        <v>34</v>
      </c>
      <c r="D3" s="14" t="s">
        <v>35</v>
      </c>
      <c r="E3" s="15" t="s">
        <v>4</v>
      </c>
    </row>
    <row r="4" spans="1:5">
      <c r="A4" s="10" t="s">
        <v>66</v>
      </c>
      <c r="B4" s="16" t="s">
        <v>57</v>
      </c>
      <c r="C4" s="9" t="s">
        <v>38</v>
      </c>
      <c r="D4" s="9" t="s">
        <v>58</v>
      </c>
      <c r="E4" s="11" t="s">
        <v>59</v>
      </c>
    </row>
    <row r="5" spans="1:5">
      <c r="A5" s="9" t="s">
        <v>73</v>
      </c>
      <c r="B5" s="16" t="s">
        <v>87</v>
      </c>
      <c r="C5" s="9">
        <v>30</v>
      </c>
      <c r="D5" s="11" t="s">
        <v>62</v>
      </c>
      <c r="E5" s="11" t="s">
        <v>75</v>
      </c>
    </row>
    <row r="6" spans="1:5">
      <c r="A6" s="9" t="s">
        <v>76</v>
      </c>
      <c r="B6" s="16" t="s">
        <v>77</v>
      </c>
      <c r="C6" s="9">
        <v>13</v>
      </c>
      <c r="D6" s="11" t="s">
        <v>62</v>
      </c>
      <c r="E6" s="11" t="s">
        <v>78</v>
      </c>
    </row>
    <row r="7" spans="1:5">
      <c r="A7" s="16" t="s">
        <v>79</v>
      </c>
      <c r="B7" s="16" t="s">
        <v>87</v>
      </c>
      <c r="C7" s="9">
        <v>255</v>
      </c>
      <c r="D7" s="11" t="s">
        <v>62</v>
      </c>
      <c r="E7" s="11" t="s">
        <v>80</v>
      </c>
    </row>
    <row r="9" spans="1:5">
      <c r="A9" t="s">
        <v>55</v>
      </c>
      <c r="B9">
        <f>SUM(C4:C7)</f>
        <v>298</v>
      </c>
    </row>
    <row r="11" spans="1:5">
      <c r="B11" s="17"/>
    </row>
  </sheetData>
  <mergeCells count="1">
    <mergeCell ref="A1:E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6731C-C1FE-4724-B06C-D0E9F910FB36}">
  <dimension ref="A1:E16"/>
  <sheetViews>
    <sheetView workbookViewId="0">
      <selection activeCell="C21" sqref="C21"/>
    </sheetView>
  </sheetViews>
  <sheetFormatPr defaultRowHeight="15"/>
  <cols>
    <col min="1" max="1" width="22.28515625" bestFit="1" customWidth="1"/>
    <col min="2" max="2" width="14.42578125" bestFit="1" customWidth="1"/>
    <col min="3" max="3" width="21.140625" bestFit="1" customWidth="1"/>
    <col min="4" max="4" width="18.140625" bestFit="1" customWidth="1"/>
    <col min="5" max="5" width="33.140625" bestFit="1" customWidth="1"/>
  </cols>
  <sheetData>
    <row r="1" spans="1:5">
      <c r="A1" s="1" t="s">
        <v>31</v>
      </c>
      <c r="B1" s="2"/>
      <c r="C1" s="2"/>
      <c r="D1" s="2"/>
      <c r="E1" s="3"/>
    </row>
    <row r="2" spans="1:5">
      <c r="A2" s="4"/>
      <c r="B2" s="5"/>
      <c r="C2" s="5"/>
      <c r="D2" s="5"/>
      <c r="E2" s="6"/>
    </row>
    <row r="3" spans="1:5" ht="16.5">
      <c r="A3" s="20" t="s">
        <v>32</v>
      </c>
      <c r="B3" s="21" t="s">
        <v>33</v>
      </c>
      <c r="C3" s="21" t="s">
        <v>34</v>
      </c>
      <c r="D3" s="22" t="s">
        <v>35</v>
      </c>
      <c r="E3" s="23" t="s">
        <v>4</v>
      </c>
    </row>
    <row r="4" spans="1:5">
      <c r="A4" s="19" t="s">
        <v>67</v>
      </c>
      <c r="B4" s="19" t="s">
        <v>57</v>
      </c>
      <c r="C4" s="19" t="s">
        <v>38</v>
      </c>
      <c r="D4" s="19" t="s">
        <v>58</v>
      </c>
      <c r="E4" s="19" t="s">
        <v>59</v>
      </c>
    </row>
    <row r="5" spans="1:5">
      <c r="A5" s="19" t="s">
        <v>88</v>
      </c>
      <c r="B5" s="19" t="s">
        <v>77</v>
      </c>
      <c r="C5" s="19">
        <v>30</v>
      </c>
      <c r="D5" s="19" t="s">
        <v>62</v>
      </c>
      <c r="E5" s="19"/>
    </row>
    <row r="6" spans="1:5">
      <c r="A6" s="19" t="s">
        <v>89</v>
      </c>
      <c r="B6" s="19" t="s">
        <v>77</v>
      </c>
      <c r="C6" s="19">
        <v>30</v>
      </c>
      <c r="D6" s="19" t="s">
        <v>62</v>
      </c>
      <c r="E6" s="19"/>
    </row>
    <row r="7" spans="1:5">
      <c r="A7" s="19" t="s">
        <v>90</v>
      </c>
      <c r="B7" s="19" t="s">
        <v>57</v>
      </c>
      <c r="C7" s="19" t="s">
        <v>38</v>
      </c>
      <c r="D7" s="19" t="s">
        <v>91</v>
      </c>
      <c r="E7" s="19"/>
    </row>
    <row r="8" spans="1:5">
      <c r="A8" s="19" t="s">
        <v>92</v>
      </c>
      <c r="B8" s="19" t="s">
        <v>77</v>
      </c>
      <c r="C8" s="19">
        <v>20</v>
      </c>
      <c r="D8" s="19" t="s">
        <v>62</v>
      </c>
      <c r="E8" s="19"/>
    </row>
    <row r="9" spans="1:5">
      <c r="A9" s="19" t="s">
        <v>93</v>
      </c>
      <c r="B9" s="19" t="s">
        <v>74</v>
      </c>
      <c r="C9" s="19">
        <v>8</v>
      </c>
      <c r="D9" s="19" t="s">
        <v>62</v>
      </c>
      <c r="E9" s="19"/>
    </row>
    <row r="10" spans="1:5">
      <c r="A10" s="19" t="s">
        <v>94</v>
      </c>
      <c r="B10" s="19" t="s">
        <v>74</v>
      </c>
      <c r="C10" s="19">
        <v>10</v>
      </c>
      <c r="D10" s="19" t="s">
        <v>62</v>
      </c>
      <c r="E10" s="19"/>
    </row>
    <row r="11" spans="1:5">
      <c r="A11" s="19"/>
      <c r="B11" s="19"/>
      <c r="C11" s="19"/>
      <c r="D11" s="19"/>
      <c r="E11" s="19"/>
    </row>
    <row r="12" spans="1:5">
      <c r="A12" s="19"/>
      <c r="B12" s="19"/>
      <c r="C12" s="19"/>
      <c r="D12" s="19"/>
      <c r="E12" s="19"/>
    </row>
    <row r="13" spans="1:5">
      <c r="A13" s="19"/>
      <c r="B13" s="19"/>
      <c r="C13" s="19"/>
      <c r="D13" s="19"/>
      <c r="E13" s="19"/>
    </row>
    <row r="14" spans="1:5">
      <c r="A14" s="19"/>
      <c r="B14" s="19"/>
      <c r="C14" s="19"/>
      <c r="D14" s="19"/>
      <c r="E14" s="19"/>
    </row>
    <row r="16" spans="1:5">
      <c r="A16" t="s">
        <v>55</v>
      </c>
      <c r="B16">
        <f>SUM(C4:C14)</f>
        <v>98</v>
      </c>
    </row>
  </sheetData>
  <mergeCells count="1">
    <mergeCell ref="A1:E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65A80-E482-4D30-A359-49C1E2E2478A}">
  <dimension ref="A1:E12"/>
  <sheetViews>
    <sheetView workbookViewId="0">
      <selection activeCell="E6" sqref="E6:E8"/>
    </sheetView>
  </sheetViews>
  <sheetFormatPr defaultColWidth="58" defaultRowHeight="15"/>
  <cols>
    <col min="1" max="1" width="22.28515625" bestFit="1" customWidth="1"/>
    <col min="2" max="2" width="14.42578125" bestFit="1" customWidth="1"/>
    <col min="3" max="3" width="14.28515625" bestFit="1" customWidth="1"/>
    <col min="4" max="4" width="20.85546875" bestFit="1" customWidth="1"/>
    <col min="5" max="5" width="30.5703125" bestFit="1" customWidth="1"/>
  </cols>
  <sheetData>
    <row r="1" spans="1:5">
      <c r="A1" s="1" t="s">
        <v>31</v>
      </c>
      <c r="B1" s="2"/>
      <c r="C1" s="2"/>
      <c r="D1" s="2"/>
      <c r="E1" s="3"/>
    </row>
    <row r="2" spans="1:5">
      <c r="A2" s="4"/>
      <c r="B2" s="5"/>
      <c r="C2" s="5"/>
      <c r="D2" s="5"/>
      <c r="E2" s="6"/>
    </row>
    <row r="3" spans="1:5" ht="16.5">
      <c r="A3" s="12" t="s">
        <v>32</v>
      </c>
      <c r="B3" s="13" t="s">
        <v>33</v>
      </c>
      <c r="C3" s="13" t="s">
        <v>95</v>
      </c>
      <c r="D3" s="14" t="s">
        <v>35</v>
      </c>
      <c r="E3" s="15" t="s">
        <v>4</v>
      </c>
    </row>
    <row r="4" spans="1:5">
      <c r="A4" s="19" t="s">
        <v>96</v>
      </c>
      <c r="B4" s="19" t="s">
        <v>37</v>
      </c>
      <c r="C4" s="19" t="s">
        <v>38</v>
      </c>
      <c r="D4" s="19" t="s">
        <v>39</v>
      </c>
      <c r="E4" s="19" t="s">
        <v>97</v>
      </c>
    </row>
    <row r="5" spans="1:5">
      <c r="A5" s="18" t="s">
        <v>98</v>
      </c>
      <c r="B5" s="19" t="s">
        <v>37</v>
      </c>
      <c r="C5" s="29"/>
      <c r="D5" s="31" t="s">
        <v>43</v>
      </c>
      <c r="E5" s="30"/>
    </row>
    <row r="6" spans="1:5">
      <c r="A6" s="19" t="s">
        <v>99</v>
      </c>
      <c r="B6" s="19" t="s">
        <v>100</v>
      </c>
      <c r="C6" s="19" t="s">
        <v>101</v>
      </c>
      <c r="D6" s="19" t="s">
        <v>43</v>
      </c>
      <c r="E6" s="19" t="s">
        <v>102</v>
      </c>
    </row>
    <row r="7" spans="1:5">
      <c r="A7" s="31" t="s">
        <v>103</v>
      </c>
      <c r="B7" s="31" t="s">
        <v>100</v>
      </c>
      <c r="C7" s="31" t="s">
        <v>104</v>
      </c>
      <c r="D7" s="31" t="s">
        <v>43</v>
      </c>
      <c r="E7" s="31" t="s">
        <v>105</v>
      </c>
    </row>
    <row r="8" spans="1:5">
      <c r="A8" s="19" t="s">
        <v>106</v>
      </c>
      <c r="B8" s="19" t="s">
        <v>107</v>
      </c>
      <c r="C8" s="19" t="s">
        <v>38</v>
      </c>
      <c r="D8" s="31" t="s">
        <v>43</v>
      </c>
      <c r="E8" s="19" t="s">
        <v>108</v>
      </c>
    </row>
    <row r="12" spans="1:5">
      <c r="A12" t="s">
        <v>55</v>
      </c>
      <c r="B12" s="10" t="s">
        <v>109</v>
      </c>
    </row>
  </sheetData>
  <mergeCells count="1">
    <mergeCell ref="A1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MATEUS RODRIGUES DOS SANTOS</cp:lastModifiedBy>
  <cp:revision/>
  <dcterms:created xsi:type="dcterms:W3CDTF">2025-11-06T23:41:57Z</dcterms:created>
  <dcterms:modified xsi:type="dcterms:W3CDTF">2025-11-07T02:19:27Z</dcterms:modified>
  <cp:category/>
  <cp:contentStatus/>
</cp:coreProperties>
</file>